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wnolegle\lab13\"/>
    </mc:Choice>
  </mc:AlternateContent>
  <xr:revisionPtr revIDLastSave="0" documentId="13_ncr:1_{79FFCB94-560F-46B5-8D82-19CE1EFEAFE9}" xr6:coauthVersionLast="47" xr6:coauthVersionMax="47" xr10:uidLastSave="{00000000-0000-0000-0000-000000000000}"/>
  <bookViews>
    <workbookView xWindow="-110" yWindow="-110" windowWidth="19420" windowHeight="10300" xr2:uid="{F88E4DAB-D45D-44FA-B043-7D7CF45B7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D22" i="1"/>
  <c r="E22" i="1"/>
  <c r="C22" i="1"/>
  <c r="F6" i="1"/>
  <c r="C6" i="1"/>
  <c r="D6" i="1"/>
  <c r="E6" i="1"/>
  <c r="E23" i="1" l="1"/>
  <c r="E24" i="1" s="1"/>
  <c r="D23" i="1"/>
  <c r="D24" i="1" s="1"/>
  <c r="F23" i="1"/>
  <c r="F24" i="1" s="1"/>
  <c r="C23" i="1"/>
  <c r="C24" i="1" s="1"/>
  <c r="E7" i="1"/>
  <c r="E8" i="1" s="1"/>
  <c r="D7" i="1"/>
  <c r="D8" i="1" s="1"/>
  <c r="F7" i="1"/>
  <c r="F8" i="1" s="1"/>
  <c r="C7" i="1"/>
  <c r="C8" i="1" s="1"/>
</calcChain>
</file>

<file path=xl/sharedStrings.xml><?xml version="1.0" encoding="utf-8"?>
<sst xmlns="http://schemas.openxmlformats.org/spreadsheetml/2006/main" count="23" uniqueCount="16">
  <si>
    <t>Ilosc</t>
  </si>
  <si>
    <t>czas 1</t>
  </si>
  <si>
    <t>czas 2</t>
  </si>
  <si>
    <t>czas 3</t>
  </si>
  <si>
    <t>srednia</t>
  </si>
  <si>
    <t>calka</t>
  </si>
  <si>
    <t>mat_vec</t>
  </si>
  <si>
    <t>przyspieszenie</t>
  </si>
  <si>
    <t>wydajnosc</t>
  </si>
  <si>
    <t>czas 4</t>
  </si>
  <si>
    <t>czas 5</t>
  </si>
  <si>
    <t>czas 6</t>
  </si>
  <si>
    <t>czas 7</t>
  </si>
  <si>
    <t>czas 8</t>
  </si>
  <si>
    <t>czas 9</t>
  </si>
  <si>
    <t>czas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</si>
</sst>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dla liczenia calki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Ref>
              <c:f>Sheet1!$C$6:$F$6</c:f>
              <c:numCache>
                <c:formatCode>General</c:formatCode>
                <c:ptCount val="4"/>
                <c:pt idx="0">
                  <c:v>0.190056</c:v>
                </c:pt>
                <c:pt idx="1">
                  <c:v>0.13877533333333333</c:v>
                </c:pt>
                <c:pt idx="2">
                  <c:v>8.981933333333332E-2</c:v>
                </c:pt>
                <c:pt idx="3">
                  <c:v>6.8139666666666668E-2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A-4BAC-9A26-9EA46BDEB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042479"/>
        <c:axId val="1069044399"/>
      </c:scatterChart>
      <c:valAx>
        <c:axId val="106904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 watkow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44399"/>
        <c:crosses val="autoZero"/>
        <c:crossBetween val="midCat"/>
      </c:valAx>
      <c:valAx>
        <c:axId val="106904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4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dla macierzy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Ref>
              <c:f>Sheet1!$C$22:$F$22</c:f>
              <c:numCache>
                <c:formatCode>General</c:formatCode>
                <c:ptCount val="4"/>
                <c:pt idx="0">
                  <c:v>6.5051999999999999E-2</c:v>
                </c:pt>
                <c:pt idx="1">
                  <c:v>3.5844599999999997E-2</c:v>
                </c:pt>
                <c:pt idx="2">
                  <c:v>3.5802800000000003E-2</c:v>
                </c:pt>
                <c:pt idx="3">
                  <c:v>2.9370299999999998E-2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7D-439C-A29C-27C8FEAE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139199"/>
        <c:axId val="774141119"/>
      </c:scatterChart>
      <c:valAx>
        <c:axId val="77413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 watkow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41119"/>
        <c:crosses val="autoZero"/>
        <c:crossBetween val="midCat"/>
      </c:valAx>
      <c:valAx>
        <c:axId val="7741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3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Przyśpieszenie</a:t>
            </a:r>
            <a:r>
              <a:rPr lang="pl-PL" baseline="0"/>
              <a:t> dla calki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calka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Ref>
              <c:f>Sheet1!$C$7:$F$7</c:f>
              <c:numCache>
                <c:formatCode>General</c:formatCode>
                <c:ptCount val="4"/>
                <c:pt idx="0">
                  <c:v>1</c:v>
                </c:pt>
                <c:pt idx="1">
                  <c:v>1.369522921940979</c:v>
                </c:pt>
                <c:pt idx="2">
                  <c:v>2.1159809692048488</c:v>
                </c:pt>
                <c:pt idx="3">
                  <c:v>2.7892123530591579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D-4E25-ACED-5DCA6A86661E}"/>
            </c:ext>
          </c:extLst>
        </c:ser>
        <c:ser>
          <c:idx val="1"/>
          <c:order val="1"/>
          <c:tx>
            <c:v>oczekiwane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B7D-4E25-ACED-5DCA6A866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771423"/>
        <c:axId val="1150772863"/>
      </c:scatterChart>
      <c:valAx>
        <c:axId val="1150771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 watkow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72863"/>
        <c:crosses val="autoZero"/>
        <c:crossBetween val="midCat"/>
      </c:valAx>
      <c:valAx>
        <c:axId val="115077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Przyspieszenie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71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Przyspieszenie dla macierzy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macierz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Ref>
              <c:f>Sheet1!$C$23:$F$23</c:f>
              <c:numCache>
                <c:formatCode>General</c:formatCode>
                <c:ptCount val="4"/>
                <c:pt idx="0">
                  <c:v>1</c:v>
                </c:pt>
                <c:pt idx="1">
                  <c:v>1.8148340335782798</c:v>
                </c:pt>
                <c:pt idx="2">
                  <c:v>1.8169528640218082</c:v>
                </c:pt>
                <c:pt idx="3">
                  <c:v>2.2148905527011982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9D-4523-97AA-DF3192772CE0}"/>
            </c:ext>
          </c:extLst>
        </c:ser>
        <c:ser>
          <c:idx val="1"/>
          <c:order val="1"/>
          <c:tx>
            <c:v>oczekiwane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F9D-4523-97AA-DF3192772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738432"/>
        <c:axId val="1010737472"/>
      </c:scatterChart>
      <c:valAx>
        <c:axId val="101073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</a:t>
                </a:r>
                <a:r>
                  <a:rPr lang="pl-PL" baseline="0"/>
                  <a:t> watkow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737472"/>
        <c:crosses val="autoZero"/>
        <c:crossBetween val="midCat"/>
      </c:valAx>
      <c:valAx>
        <c:axId val="10107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Przyspieszenie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73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Wydajnosc</a:t>
            </a:r>
            <a:r>
              <a:rPr lang="pl-PL" baseline="0"/>
              <a:t> dla calki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calka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Ref>
              <c:f>Sheet1!$C$8:$F$8</c:f>
              <c:numCache>
                <c:formatCode>General</c:formatCode>
                <c:ptCount val="4"/>
                <c:pt idx="0">
                  <c:v>1</c:v>
                </c:pt>
                <c:pt idx="1">
                  <c:v>0.68476146097048951</c:v>
                </c:pt>
                <c:pt idx="2">
                  <c:v>0.5289952423012122</c:v>
                </c:pt>
                <c:pt idx="3">
                  <c:v>0.46486872550985964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D-4321-BBA3-9815C6107040}"/>
            </c:ext>
          </c:extLst>
        </c:ser>
        <c:ser>
          <c:idx val="1"/>
          <c:order val="1"/>
          <c:tx>
            <c:v>oczekiwane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6BD-4321-BBA3-9815C6107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732687"/>
        <c:axId val="1067729327"/>
      </c:scatterChart>
      <c:valAx>
        <c:axId val="10677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 watkow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729327"/>
        <c:crosses val="autoZero"/>
        <c:crossBetween val="midCat"/>
      </c:valAx>
      <c:valAx>
        <c:axId val="106772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Wydajnosc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732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Wydajnosc dla macierzy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macierz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Ref>
              <c:f>Sheet1!$C$24:$F$24</c:f>
              <c:numCache>
                <c:formatCode>General</c:formatCode>
                <c:ptCount val="4"/>
                <c:pt idx="0">
                  <c:v>1</c:v>
                </c:pt>
                <c:pt idx="1">
                  <c:v>0.90741701678913989</c:v>
                </c:pt>
                <c:pt idx="2">
                  <c:v>0.45423821600545206</c:v>
                </c:pt>
                <c:pt idx="3">
                  <c:v>0.36914842545019971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D-46D1-8994-D4E6DC6DB1E6}"/>
            </c:ext>
          </c:extLst>
        </c:ser>
        <c:ser>
          <c:idx val="1"/>
          <c:order val="1"/>
          <c:tx>
            <c:v>oczekiwane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</c:numLit>
          </c:xVal>
          <c:y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81D-46D1-8994-D4E6DC6DB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98175"/>
        <c:axId val="1134798655"/>
      </c:scatterChart>
      <c:valAx>
        <c:axId val="113479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</a:t>
                </a:r>
                <a:r>
                  <a:rPr lang="pl-PL" baseline="0"/>
                  <a:t> watkow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98655"/>
        <c:crosses val="autoZero"/>
        <c:crossBetween val="midCat"/>
      </c:valAx>
      <c:valAx>
        <c:axId val="11347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Wydajnosc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98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119343</xdr:colOff>
      <xdr:row>0</xdr:row>
      <xdr:rowOff>160244</xdr:rowOff>
    </xdr:from>
    <xdr:to>
      <xdr:col>21</xdr:col>
      <xdr:colOff>424143</xdr:colOff>
      <xdr:row>15</xdr:row>
      <xdr:rowOff>141194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3C18D-D3D0-A795-C08E-B180D47A1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490631</xdr:colOff>
      <xdr:row>0</xdr:row>
      <xdr:rowOff>172944</xdr:rowOff>
    </xdr:from>
    <xdr:to>
      <xdr:col>29</xdr:col>
      <xdr:colOff>185830</xdr:colOff>
      <xdr:row>15</xdr:row>
      <xdr:rowOff>153894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B8B552-CF18-AA0B-A8A2-A4D557C96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146610</xdr:colOff>
      <xdr:row>16</xdr:row>
      <xdr:rowOff>61819</xdr:rowOff>
    </xdr:from>
    <xdr:to>
      <xdr:col>21</xdr:col>
      <xdr:colOff>469713</xdr:colOff>
      <xdr:row>31</xdr:row>
      <xdr:rowOff>3548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0F4FAF-A1A3-BBFA-5F84-2A4B102DA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529478</xdr:colOff>
      <xdr:row>16</xdr:row>
      <xdr:rowOff>71158</xdr:rowOff>
    </xdr:from>
    <xdr:to>
      <xdr:col>29</xdr:col>
      <xdr:colOff>245595</xdr:colOff>
      <xdr:row>31</xdr:row>
      <xdr:rowOff>12887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3BA0B3-CCC9-3A60-A8D2-0BB783185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137272</xdr:colOff>
      <xdr:row>31</xdr:row>
      <xdr:rowOff>52481</xdr:rowOff>
    </xdr:from>
    <xdr:to>
      <xdr:col>21</xdr:col>
      <xdr:colOff>460375</xdr:colOff>
      <xdr:row>45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DE5299-58D5-CFEB-732A-4B79D398C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585507</xdr:colOff>
      <xdr:row>31</xdr:row>
      <xdr:rowOff>80495</xdr:rowOff>
    </xdr:from>
    <xdr:to>
      <xdr:col>29</xdr:col>
      <xdr:colOff>301625</xdr:colOff>
      <xdr:row>46</xdr:row>
      <xdr:rowOff>22225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6AA91D-6777-EC55-AC4A-63AC5F812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E229-BA14-4BA3-B3AE-C550CE3683A6}">
  <dimension ref="B1:F24"/>
  <sheetViews>
    <sheetView tabSelected="1" zoomScale="68" workbookViewId="0">
      <selection activeCell="I22" sqref="I22"/>
    </sheetView>
  </sheetViews>
  <sheetFormatPr defaultRowHeight="14.5" x14ac:dyDescent="0.35"/>
  <cols>
    <col min="2" max="2" width="13.08984375" bestFit="1" customWidth="1"/>
    <col min="3" max="7" width="11.81640625" bestFit="1" customWidth="1"/>
  </cols>
  <sheetData>
    <row r="1" spans="2:6" x14ac:dyDescent="0.35">
      <c r="B1" t="s">
        <v>5</v>
      </c>
    </row>
    <row r="2" spans="2:6" x14ac:dyDescent="0.35">
      <c r="B2" t="s">
        <v>0</v>
      </c>
      <c r="C2">
        <v>1</v>
      </c>
      <c r="D2">
        <v>2</v>
      </c>
      <c r="E2">
        <v>4</v>
      </c>
      <c r="F2">
        <v>6</v>
      </c>
    </row>
    <row r="3" spans="2:6" x14ac:dyDescent="0.35">
      <c r="B3" t="s">
        <v>1</v>
      </c>
      <c r="C3">
        <v>0.18398100000000001</v>
      </c>
      <c r="D3">
        <v>0.159716</v>
      </c>
      <c r="E3">
        <v>8.6363999999999996E-2</v>
      </c>
      <c r="F3">
        <v>7.6255000000000003E-2</v>
      </c>
    </row>
    <row r="4" spans="2:6" x14ac:dyDescent="0.35">
      <c r="B4" t="s">
        <v>2</v>
      </c>
      <c r="C4">
        <v>0.19551099999999999</v>
      </c>
      <c r="D4">
        <v>0.121031</v>
      </c>
      <c r="E4">
        <v>8.8581999999999994E-2</v>
      </c>
      <c r="F4">
        <v>6.5636E-2</v>
      </c>
    </row>
    <row r="5" spans="2:6" x14ac:dyDescent="0.35">
      <c r="B5" t="s">
        <v>3</v>
      </c>
      <c r="C5">
        <v>0.19067600000000001</v>
      </c>
      <c r="D5">
        <v>0.13557900000000001</v>
      </c>
      <c r="E5">
        <v>9.4511999999999999E-2</v>
      </c>
      <c r="F5">
        <v>6.2528E-2</v>
      </c>
    </row>
    <row r="6" spans="2:6" x14ac:dyDescent="0.35">
      <c r="B6" t="s">
        <v>4</v>
      </c>
      <c r="C6">
        <f>AVERAGE(C3:C5)</f>
        <v>0.190056</v>
      </c>
      <c r="D6">
        <f t="shared" ref="D6:F6" si="0">AVERAGE(D3:D5)</f>
        <v>0.13877533333333333</v>
      </c>
      <c r="E6">
        <f t="shared" si="0"/>
        <v>8.981933333333332E-2</v>
      </c>
      <c r="F6">
        <f t="shared" si="0"/>
        <v>6.8139666666666668E-2</v>
      </c>
    </row>
    <row r="7" spans="2:6" x14ac:dyDescent="0.35">
      <c r="B7" t="s">
        <v>7</v>
      </c>
      <c r="C7">
        <f>$C$6/C6</f>
        <v>1</v>
      </c>
      <c r="D7">
        <f t="shared" ref="D7:G7" si="1">$C$6/D6</f>
        <v>1.369522921940979</v>
      </c>
      <c r="E7">
        <f t="shared" si="1"/>
        <v>2.1159809692048488</v>
      </c>
      <c r="F7">
        <f t="shared" si="1"/>
        <v>2.7892123530591579</v>
      </c>
    </row>
    <row r="8" spans="2:6" x14ac:dyDescent="0.35">
      <c r="B8" t="s">
        <v>8</v>
      </c>
      <c r="C8">
        <f>C7/C2</f>
        <v>1</v>
      </c>
      <c r="D8">
        <f t="shared" ref="D8:G8" si="2">D7/D2</f>
        <v>0.68476146097048951</v>
      </c>
      <c r="E8">
        <f t="shared" si="2"/>
        <v>0.5289952423012122</v>
      </c>
      <c r="F8">
        <f t="shared" si="2"/>
        <v>0.46486872550985964</v>
      </c>
    </row>
    <row r="10" spans="2:6" x14ac:dyDescent="0.35">
      <c r="B10" t="s">
        <v>6</v>
      </c>
    </row>
    <row r="11" spans="2:6" x14ac:dyDescent="0.35">
      <c r="B11" t="s">
        <v>0</v>
      </c>
      <c r="C11">
        <v>1</v>
      </c>
      <c r="D11">
        <v>2</v>
      </c>
      <c r="E11">
        <v>4</v>
      </c>
      <c r="F11">
        <v>6</v>
      </c>
    </row>
    <row r="12" spans="2:6" x14ac:dyDescent="0.35">
      <c r="B12" t="s">
        <v>1</v>
      </c>
      <c r="C12">
        <v>6.1020999999999999E-2</v>
      </c>
      <c r="D12">
        <v>3.4979999999999997E-2</v>
      </c>
      <c r="E12">
        <v>3.3356999999999998E-2</v>
      </c>
      <c r="F12">
        <v>2.8809000000000001E-2</v>
      </c>
    </row>
    <row r="13" spans="2:6" x14ac:dyDescent="0.35">
      <c r="B13" t="s">
        <v>2</v>
      </c>
      <c r="C13">
        <v>6.3031000000000004E-2</v>
      </c>
      <c r="D13">
        <v>3.5237999999999998E-2</v>
      </c>
      <c r="E13">
        <v>3.8280000000000002E-2</v>
      </c>
      <c r="F13">
        <v>2.6880999999999999E-2</v>
      </c>
    </row>
    <row r="14" spans="2:6" x14ac:dyDescent="0.35">
      <c r="B14" t="s">
        <v>3</v>
      </c>
      <c r="C14">
        <v>6.7124000000000003E-2</v>
      </c>
      <c r="D14">
        <v>3.3114999999999999E-2</v>
      </c>
      <c r="E14">
        <v>3.4582000000000002E-2</v>
      </c>
      <c r="F14">
        <v>2.5472999999999999E-2</v>
      </c>
    </row>
    <row r="15" spans="2:6" x14ac:dyDescent="0.35">
      <c r="B15" t="s">
        <v>9</v>
      </c>
      <c r="C15">
        <v>6.0754000000000002E-2</v>
      </c>
      <c r="D15">
        <v>4.4982000000000001E-2</v>
      </c>
      <c r="E15">
        <v>5.5874E-2</v>
      </c>
      <c r="F15">
        <v>2.9569999999999999E-2</v>
      </c>
    </row>
    <row r="16" spans="2:6" x14ac:dyDescent="0.35">
      <c r="B16" t="s">
        <v>10</v>
      </c>
      <c r="C16">
        <v>6.2175000000000001E-2</v>
      </c>
      <c r="D16">
        <v>3.0329999999999999E-2</v>
      </c>
      <c r="E16">
        <v>3.5999000000000003E-2</v>
      </c>
      <c r="F16">
        <v>2.7479E-2</v>
      </c>
    </row>
    <row r="17" spans="2:6" x14ac:dyDescent="0.35">
      <c r="B17" t="s">
        <v>11</v>
      </c>
      <c r="C17">
        <v>6.9001000000000007E-2</v>
      </c>
      <c r="D17">
        <v>3.0932999999999999E-2</v>
      </c>
      <c r="E17">
        <v>3.1125E-2</v>
      </c>
      <c r="F17">
        <v>3.3683999999999999E-2</v>
      </c>
    </row>
    <row r="18" spans="2:6" x14ac:dyDescent="0.35">
      <c r="B18" t="s">
        <v>12</v>
      </c>
      <c r="C18">
        <v>5.8028999999999997E-2</v>
      </c>
      <c r="D18">
        <v>3.9373999999999999E-2</v>
      </c>
      <c r="E18">
        <v>3.3453999999999998E-2</v>
      </c>
      <c r="F18">
        <v>2.9961999999999999E-2</v>
      </c>
    </row>
    <row r="19" spans="2:6" x14ac:dyDescent="0.35">
      <c r="B19" t="s">
        <v>13</v>
      </c>
      <c r="C19">
        <v>7.8172000000000005E-2</v>
      </c>
      <c r="D19">
        <v>3.5575000000000002E-2</v>
      </c>
      <c r="E19">
        <v>3.5691000000000001E-2</v>
      </c>
      <c r="F19">
        <v>3.0006000000000001E-2</v>
      </c>
    </row>
    <row r="20" spans="2:6" x14ac:dyDescent="0.35">
      <c r="B20" t="s">
        <v>14</v>
      </c>
      <c r="C20">
        <v>6.9744E-2</v>
      </c>
      <c r="D20">
        <v>3.5602000000000002E-2</v>
      </c>
      <c r="E20">
        <v>2.7140999999999998E-2</v>
      </c>
      <c r="F20">
        <v>3.3839000000000001E-2</v>
      </c>
    </row>
    <row r="21" spans="2:6" x14ac:dyDescent="0.35">
      <c r="B21" t="s">
        <v>15</v>
      </c>
      <c r="C21">
        <v>6.1469000000000003E-2</v>
      </c>
      <c r="D21">
        <v>3.8316999999999997E-2</v>
      </c>
      <c r="E21">
        <v>3.2524999999999998E-2</v>
      </c>
      <c r="F21">
        <v>2.8000000000000001E-2</v>
      </c>
    </row>
    <row r="22" spans="2:6" x14ac:dyDescent="0.35">
      <c r="B22" t="s">
        <v>4</v>
      </c>
      <c r="C22">
        <f>AVERAGE(C12:C21)</f>
        <v>6.5051999999999999E-2</v>
      </c>
      <c r="D22">
        <f t="shared" ref="D22:F22" si="3">AVERAGE(D12:D21)</f>
        <v>3.5844599999999997E-2</v>
      </c>
      <c r="E22">
        <f t="shared" si="3"/>
        <v>3.5802800000000003E-2</v>
      </c>
      <c r="F22">
        <f>AVERAGE(F12:F21)</f>
        <v>2.9370299999999998E-2</v>
      </c>
    </row>
    <row r="23" spans="2:6" x14ac:dyDescent="0.35">
      <c r="B23" t="s">
        <v>7</v>
      </c>
      <c r="C23">
        <f>$C$22/C22</f>
        <v>1</v>
      </c>
      <c r="D23">
        <f>$C$22/D22</f>
        <v>1.8148340335782798</v>
      </c>
      <c r="E23">
        <f>$C$22/E22</f>
        <v>1.8169528640218082</v>
      </c>
      <c r="F23">
        <f>$C$22/F22</f>
        <v>2.2148905527011982</v>
      </c>
    </row>
    <row r="24" spans="2:6" x14ac:dyDescent="0.35">
      <c r="B24" t="s">
        <v>8</v>
      </c>
      <c r="C24">
        <f>C23/C11</f>
        <v>1</v>
      </c>
      <c r="D24">
        <f>D23/D11</f>
        <v>0.90741701678913989</v>
      </c>
      <c r="E24">
        <f>E23/E11</f>
        <v>0.45423821600545206</v>
      </c>
      <c r="F24">
        <f>F23/F11</f>
        <v>0.36914842545019971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Świerczyński</dc:creator>
  <cp:lastModifiedBy>Kuba Świerczyński</cp:lastModifiedBy>
  <dcterms:created xsi:type="dcterms:W3CDTF">2025-01-13T14:06:41Z</dcterms:created>
  <dcterms:modified xsi:type="dcterms:W3CDTF">2025-01-17T21:32:25Z</dcterms:modified>
</cp:coreProperties>
</file>